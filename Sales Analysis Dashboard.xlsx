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avya Sri\OneDrive\ドキュメント\"/>
    </mc:Choice>
  </mc:AlternateContent>
  <xr:revisionPtr revIDLastSave="0" documentId="8_{F386332D-D6AB-4DE0-AB0C-D11B279E1C5D}" xr6:coauthVersionLast="47" xr6:coauthVersionMax="47" xr10:uidLastSave="{00000000-0000-0000-0000-000000000000}"/>
  <bookViews>
    <workbookView xWindow="-110" yWindow="-110" windowWidth="19420" windowHeight="11500" xr2:uid="{43E86CEB-0F99-4576-AE56-C936D15201C2}"/>
  </bookViews>
  <sheets>
    <sheet name="Sheet2" sheetId="2" r:id="rId1"/>
    <sheet name="Sheet3" sheetId="3" r:id="rId2"/>
    <sheet name="Sheet4" sheetId="4" r:id="rId3"/>
    <sheet name="Sheet5" sheetId="5" r:id="rId4"/>
    <sheet name="Sheet1" sheetId="1" r:id="rId5"/>
  </sheets>
  <definedNames>
    <definedName name="Slicer_Product">#N/A</definedName>
    <definedName name="Slicer_Region">#N/A</definedName>
    <definedName name="Slicer_Salesperson">#N/A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1" l="1"/>
  <c r="E12" i="1"/>
  <c r="F12" i="1"/>
</calcChain>
</file>

<file path=xl/sharedStrings.xml><?xml version="1.0" encoding="utf-8"?>
<sst xmlns="http://schemas.openxmlformats.org/spreadsheetml/2006/main" count="65" uniqueCount="33">
  <si>
    <t>Date</t>
  </si>
  <si>
    <t>Region</t>
  </si>
  <si>
    <t>Product</t>
  </si>
  <si>
    <t>Units Sold</t>
  </si>
  <si>
    <t>Unit Price</t>
  </si>
  <si>
    <t>Revenue</t>
  </si>
  <si>
    <t>Salesperson</t>
  </si>
  <si>
    <t>Mumbai</t>
  </si>
  <si>
    <t>Laptop</t>
  </si>
  <si>
    <t>Arjun Mehta</t>
  </si>
  <si>
    <t>Hyderabad</t>
  </si>
  <si>
    <t>Smartphone</t>
  </si>
  <si>
    <t>Priya Sharma</t>
  </si>
  <si>
    <t>Bangalore</t>
  </si>
  <si>
    <t>Tablet</t>
  </si>
  <si>
    <t>Rahul Verma</t>
  </si>
  <si>
    <t>Delhi</t>
  </si>
  <si>
    <t>Smartwatch</t>
  </si>
  <si>
    <t>Sneha Reddy</t>
  </si>
  <si>
    <t>Chennai</t>
  </si>
  <si>
    <t>Headphones</t>
  </si>
  <si>
    <t>Karan Patel</t>
  </si>
  <si>
    <t>Ananya Rao</t>
  </si>
  <si>
    <t>Vikram Singh</t>
  </si>
  <si>
    <t>Neha Kapoor</t>
  </si>
  <si>
    <t>Rohit Kumar</t>
  </si>
  <si>
    <t>Aisha Khan</t>
  </si>
  <si>
    <t>Row Labels</t>
  </si>
  <si>
    <t>Grand Total</t>
  </si>
  <si>
    <t>Sum of Revenue</t>
  </si>
  <si>
    <t>REVENUE BY PRODUCT</t>
  </si>
  <si>
    <t>REVENUE BYE REGION</t>
  </si>
  <si>
    <t>SALESPERSON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</si>
</sst>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20"/>
      <color theme="1"/>
      <name val="Calibri"/>
      <family val="2"/>
      <scheme val="minor"/>
    </font>
    <font>
      <b/>
      <sz val="20"/>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xf>
    <xf numFmtId="0" fontId="3" fillId="0" borderId="0" xfId="0" applyFont="1" applyAlignment="1">
      <alignment vertical="center"/>
    </xf>
    <xf numFmtId="0" fontId="2" fillId="0" borderId="0" xfId="0" applyFont="1"/>
    <xf numFmtId="0" fontId="3" fillId="0" borderId="0" xfId="0" applyFont="1"/>
  </cellXfs>
  <cellStyles count="1">
    <cellStyle name="Normal" xfId="0" builtinId="0"/>
  </cellStyles>
  <dxfs count="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Total</c:v>
          </c:tx>
          <c:spPr>
            <a:solidFill>
              <a:schemeClr val="accent1"/>
            </a:solidFill>
            <a:ln>
              <a:noFill/>
            </a:ln>
            <a:effectLst/>
          </c:spPr>
          <c:invertIfNegative val="0"/>
          <c:cat>
            <c:strLit>
              <c:ptCount val="5"/>
              <c:pt idx="0">
                <c:v>Headphones</c:v>
              </c:pt>
              <c:pt idx="1">
                <c:v>Laptop</c:v>
              </c:pt>
              <c:pt idx="2">
                <c:v>Smartphone</c:v>
              </c:pt>
              <c:pt idx="3">
                <c:v>Smartwatch</c:v>
              </c:pt>
              <c:pt idx="4">
                <c:v>Tablet</c:v>
              </c:pt>
            </c:strLit>
          </c:cat>
          <c:val>
            <c:numLit>
              <c:formatCode>General</c:formatCode>
              <c:ptCount val="5"/>
              <c:pt idx="0">
                <c:v>357500</c:v>
              </c:pt>
              <c:pt idx="1">
                <c:v>1310000</c:v>
              </c:pt>
              <c:pt idx="2">
                <c:v>925000</c:v>
              </c:pt>
              <c:pt idx="3">
                <c:v>660000</c:v>
              </c:pt>
              <c:pt idx="4">
                <c:v>1156000</c:v>
              </c:pt>
            </c:numLit>
          </c:val>
          <c:extLst>
            <c:ext xmlns:c16="http://schemas.microsoft.com/office/drawing/2014/chart" uri="{C3380CC4-5D6E-409C-BE32-E72D297353CC}">
              <c16:uniqueId val="{00000002-4DB9-4DB6-BAE5-009521A0E082}"/>
            </c:ext>
          </c:extLst>
        </c:ser>
        <c:dLbls>
          <c:showLegendKey val="0"/>
          <c:showVal val="0"/>
          <c:showCatName val="0"/>
          <c:showSerName val="0"/>
          <c:showPercent val="0"/>
          <c:showBubbleSize val="0"/>
        </c:dLbls>
        <c:gapWidth val="150"/>
        <c:overlap val="100"/>
        <c:axId val="486696096"/>
        <c:axId val="490395856"/>
      </c:barChart>
      <c:catAx>
        <c:axId val="48669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95856"/>
        <c:crosses val="autoZero"/>
        <c:auto val="1"/>
        <c:lblAlgn val="ctr"/>
        <c:lblOffset val="100"/>
        <c:noMultiLvlLbl val="0"/>
      </c:catAx>
      <c:valAx>
        <c:axId val="490395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69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Lit>
              <c:ptCount val="7"/>
              <c:pt idx="0">
                <c:v>Bangalore</c:v>
              </c:pt>
              <c:pt idx="1">
                <c:v>Chennai</c:v>
              </c:pt>
              <c:pt idx="2">
                <c:v>Delhi</c:v>
              </c:pt>
              <c:pt idx="3">
                <c:v>Hyderabad</c:v>
              </c:pt>
              <c:pt idx="4">
                <c:v>Mumbai</c:v>
              </c:pt>
            </c:strLit>
          </c:cat>
          <c:val>
            <c:numLit>
              <c:formatCode>General</c:formatCode>
              <c:ptCount val="6"/>
              <c:pt idx="0">
                <c:v>1156000</c:v>
              </c:pt>
              <c:pt idx="1">
                <c:v>500000</c:v>
              </c:pt>
              <c:pt idx="2">
                <c:v>517500</c:v>
              </c:pt>
              <c:pt idx="3">
                <c:v>1200000</c:v>
              </c:pt>
              <c:pt idx="4">
                <c:v>1035000</c:v>
              </c:pt>
              <c:pt idx="5">
                <c:v>2235000</c:v>
              </c:pt>
            </c:numLit>
          </c:val>
          <c:extLst>
            <c:ext xmlns:c16="http://schemas.microsoft.com/office/drawing/2014/chart" uri="{C3380CC4-5D6E-409C-BE32-E72D297353CC}">
              <c16:uniqueId val="{00000000-8A8B-4E34-850E-4631184A6F2A}"/>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0"/>
              <c:pt idx="0">
                <c:v>Aisha Khan</c:v>
              </c:pt>
              <c:pt idx="1">
                <c:v>Ananya Rao</c:v>
              </c:pt>
              <c:pt idx="2">
                <c:v>Arjun Mehta</c:v>
              </c:pt>
              <c:pt idx="3">
                <c:v>Karan Patel</c:v>
              </c:pt>
              <c:pt idx="4">
                <c:v>Neha Kapoor</c:v>
              </c:pt>
              <c:pt idx="5">
                <c:v>Priya Sharma</c:v>
              </c:pt>
              <c:pt idx="6">
                <c:v>Rahul Verma</c:v>
              </c:pt>
              <c:pt idx="7">
                <c:v>Rohit Kumar</c:v>
              </c:pt>
              <c:pt idx="8">
                <c:v>Sneha Reddy</c:v>
              </c:pt>
              <c:pt idx="9">
                <c:v>Vikram Singh</c:v>
              </c:pt>
            </c:strLit>
          </c:cat>
          <c:val>
            <c:numLit>
              <c:formatCode>General</c:formatCode>
              <c:ptCount val="10"/>
              <c:pt idx="0">
                <c:v>300000</c:v>
              </c:pt>
              <c:pt idx="1">
                <c:v>375000</c:v>
              </c:pt>
              <c:pt idx="2">
                <c:v>660000</c:v>
              </c:pt>
              <c:pt idx="3">
                <c:v>200000</c:v>
              </c:pt>
              <c:pt idx="4">
                <c:v>616000</c:v>
              </c:pt>
              <c:pt idx="5">
                <c:v>550000</c:v>
              </c:pt>
              <c:pt idx="6">
                <c:v>540000</c:v>
              </c:pt>
              <c:pt idx="7">
                <c:v>157500</c:v>
              </c:pt>
              <c:pt idx="8">
                <c:v>360000</c:v>
              </c:pt>
              <c:pt idx="9">
                <c:v>650000</c:v>
              </c:pt>
            </c:numLit>
          </c:val>
          <c:smooth val="0"/>
          <c:extLst>
            <c:ext xmlns:c16="http://schemas.microsoft.com/office/drawing/2014/chart" uri="{C3380CC4-5D6E-409C-BE32-E72D297353CC}">
              <c16:uniqueId val="{00000000-84A1-4835-92C2-750BDFCF5405}"/>
            </c:ext>
          </c:extLst>
        </c:ser>
        <c:dLbls>
          <c:showLegendKey val="0"/>
          <c:showVal val="0"/>
          <c:showCatName val="0"/>
          <c:showSerName val="0"/>
          <c:showPercent val="0"/>
          <c:showBubbleSize val="0"/>
        </c:dLbls>
        <c:marker val="1"/>
        <c:smooth val="0"/>
        <c:axId val="76728128"/>
        <c:axId val="76728608"/>
      </c:lineChart>
      <c:catAx>
        <c:axId val="7672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8608"/>
        <c:crosses val="autoZero"/>
        <c:auto val="1"/>
        <c:lblAlgn val="ctr"/>
        <c:lblOffset val="100"/>
        <c:noMultiLvlLbl val="0"/>
      </c:catAx>
      <c:valAx>
        <c:axId val="7672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18</xdr:col>
      <xdr:colOff>580847</xdr:colOff>
      <xdr:row>21</xdr:row>
      <xdr:rowOff>170131</xdr:rowOff>
    </xdr:from>
    <xdr:to>
      <xdr:col>21</xdr:col>
      <xdr:colOff>568385</xdr:colOff>
      <xdr:row>34</xdr:row>
      <xdr:rowOff>120006</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807798B4-1204-D4CB-E4AB-6BF2E0B957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635266" y="3891526"/>
              <a:ext cx="1803933" cy="2401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102439</xdr:colOff>
      <xdr:row>21</xdr:row>
      <xdr:rowOff>68410</xdr:rowOff>
    </xdr:from>
    <xdr:to>
      <xdr:col>29</xdr:col>
      <xdr:colOff>580726</xdr:colOff>
      <xdr:row>34</xdr:row>
      <xdr:rowOff>96341</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A53298B3-50BC-7EBE-CE85-AE77BCE112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606044" y="3789805"/>
              <a:ext cx="1822124" cy="2479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584677</xdr:colOff>
      <xdr:row>21</xdr:row>
      <xdr:rowOff>122684</xdr:rowOff>
    </xdr:from>
    <xdr:to>
      <xdr:col>26</xdr:col>
      <xdr:colOff>118849</xdr:colOff>
      <xdr:row>34</xdr:row>
      <xdr:rowOff>118567</xdr:rowOff>
    </xdr:to>
    <mc:AlternateContent xmlns:mc="http://schemas.openxmlformats.org/markup-compatibility/2006">
      <mc:Choice xmlns:a14="http://schemas.microsoft.com/office/drawing/2010/main" Requires="a14">
        <xdr:graphicFrame macro="">
          <xdr:nvGraphicFramePr>
            <xdr:cNvPr id="13" name="Salesperson">
              <a:extLst>
                <a:ext uri="{FF2B5EF4-FFF2-40B4-BE49-F238E27FC236}">
                  <a16:creationId xmlns:a16="http://schemas.microsoft.com/office/drawing/2014/main" id="{DD8BD7EA-C8CD-59F2-DD85-FC999DFA31E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6060956" y="3844079"/>
              <a:ext cx="1956033" cy="244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184509</xdr:colOff>
      <xdr:row>14</xdr:row>
      <xdr:rowOff>62781</xdr:rowOff>
    </xdr:from>
    <xdr:to>
      <xdr:col>23</xdr:col>
      <xdr:colOff>506562</xdr:colOff>
      <xdr:row>19</xdr:row>
      <xdr:rowOff>78596</xdr:rowOff>
    </xdr:to>
    <xdr:sp macro="" textlink="">
      <xdr:nvSpPr>
        <xdr:cNvPr id="14" name="Rectangle 13">
          <a:extLst>
            <a:ext uri="{FF2B5EF4-FFF2-40B4-BE49-F238E27FC236}">
              <a16:creationId xmlns:a16="http://schemas.microsoft.com/office/drawing/2014/main" id="{3623512E-AF1A-70F6-54CC-39B5C609AB96}"/>
            </a:ext>
          </a:extLst>
        </xdr:cNvPr>
        <xdr:cNvSpPr/>
      </xdr:nvSpPr>
      <xdr:spPr>
        <a:xfrm>
          <a:off x="13417909" y="2551981"/>
          <a:ext cx="2760453" cy="904815"/>
        </a:xfrm>
        <a:prstGeom prst="rect">
          <a:avLst/>
        </a:prstGeom>
        <a:ln>
          <a:solidFill>
            <a:schemeClr val="tx1">
              <a:lumMod val="85000"/>
              <a:lumOff val="15000"/>
            </a:schemeClr>
          </a:solidFill>
        </a:ln>
        <a:effectLst>
          <a:outerShdw blurRad="50800" dist="38100" dir="18900000" algn="b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2400" b="1"/>
            <a:t>Total</a:t>
          </a:r>
          <a:r>
            <a:rPr lang="en-IN" sz="2400" b="1" baseline="0"/>
            <a:t> Revenue:</a:t>
          </a:r>
        </a:p>
        <a:p>
          <a:pPr algn="ctr"/>
          <a:r>
            <a:rPr lang="en-IN" sz="2800" b="1" i="0" u="none" strike="noStrike">
              <a:solidFill>
                <a:schemeClr val="dk1"/>
              </a:solidFill>
              <a:effectLst/>
              <a:latin typeface="+mn-lt"/>
              <a:ea typeface="+mn-ea"/>
              <a:cs typeface="+mn-cs"/>
            </a:rPr>
            <a:t>4,408,500</a:t>
          </a:r>
          <a:r>
            <a:rPr lang="en-IN" sz="2800" b="1">
              <a:effectLst/>
            </a:rPr>
            <a:t> </a:t>
          </a:r>
          <a:endParaRPr lang="en-IN" sz="2800" b="1" baseline="0"/>
        </a:p>
      </xdr:txBody>
    </xdr:sp>
    <xdr:clientData/>
  </xdr:twoCellAnchor>
  <xdr:twoCellAnchor>
    <xdr:from>
      <xdr:col>25</xdr:col>
      <xdr:colOff>65178</xdr:colOff>
      <xdr:row>14</xdr:row>
      <xdr:rowOff>25400</xdr:rowOff>
    </xdr:from>
    <xdr:to>
      <xdr:col>29</xdr:col>
      <xdr:colOff>303363</xdr:colOff>
      <xdr:row>19</xdr:row>
      <xdr:rowOff>41215</xdr:rowOff>
    </xdr:to>
    <xdr:sp macro="" textlink="">
      <xdr:nvSpPr>
        <xdr:cNvPr id="15" name="Rectangle 14">
          <a:extLst>
            <a:ext uri="{FF2B5EF4-FFF2-40B4-BE49-F238E27FC236}">
              <a16:creationId xmlns:a16="http://schemas.microsoft.com/office/drawing/2014/main" id="{B51B3D2F-A8BF-A154-E320-0EAB11078686}"/>
            </a:ext>
          </a:extLst>
        </xdr:cNvPr>
        <xdr:cNvSpPr/>
      </xdr:nvSpPr>
      <xdr:spPr>
        <a:xfrm>
          <a:off x="16956178" y="2514600"/>
          <a:ext cx="2676585" cy="904815"/>
        </a:xfrm>
        <a:prstGeom prst="rect">
          <a:avLst/>
        </a:prstGeom>
        <a:ln>
          <a:solidFill>
            <a:schemeClr val="bg2">
              <a:lumMod val="10000"/>
            </a:schemeClr>
          </a:solidFill>
        </a:ln>
        <a:effectLst>
          <a:outerShdw blurRad="50800" dist="38100" dir="16200000"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400" b="1"/>
            <a:t>Total Units Sold:</a:t>
          </a:r>
          <a:endParaRPr lang="en-IN" sz="2400" b="1" i="0" u="none" strike="noStrike">
            <a:solidFill>
              <a:schemeClr val="dk1"/>
            </a:solidFill>
            <a:effectLst/>
            <a:latin typeface="+mn-lt"/>
            <a:ea typeface="+mn-ea"/>
            <a:cs typeface="+mn-cs"/>
          </a:endParaRPr>
        </a:p>
        <a:p>
          <a:pPr algn="ctr"/>
          <a:r>
            <a:rPr lang="en-IN" sz="2400" b="1" i="0" u="none" strike="noStrike">
              <a:solidFill>
                <a:schemeClr val="dk1"/>
              </a:solidFill>
              <a:effectLst/>
              <a:latin typeface="+mn-lt"/>
              <a:ea typeface="+mn-ea"/>
              <a:cs typeface="+mn-cs"/>
            </a:rPr>
            <a:t>227</a:t>
          </a:r>
          <a:r>
            <a:rPr lang="en-IN" sz="2400" b="1">
              <a:effectLst/>
            </a:rPr>
            <a:t> </a:t>
          </a:r>
          <a:endParaRPr lang="en-IN" sz="2400" b="1"/>
        </a:p>
      </xdr:txBody>
    </xdr:sp>
    <xdr:clientData/>
  </xdr:twoCellAnchor>
  <xdr:twoCellAnchor>
    <xdr:from>
      <xdr:col>1</xdr:col>
      <xdr:colOff>582083</xdr:colOff>
      <xdr:row>3</xdr:row>
      <xdr:rowOff>0</xdr:rowOff>
    </xdr:from>
    <xdr:to>
      <xdr:col>33</xdr:col>
      <xdr:colOff>76969</xdr:colOff>
      <xdr:row>10</xdr:row>
      <xdr:rowOff>76970</xdr:rowOff>
    </xdr:to>
    <xdr:sp macro="" textlink="">
      <xdr:nvSpPr>
        <xdr:cNvPr id="16" name="Rectangle 15">
          <a:extLst>
            <a:ext uri="{FF2B5EF4-FFF2-40B4-BE49-F238E27FC236}">
              <a16:creationId xmlns:a16="http://schemas.microsoft.com/office/drawing/2014/main" id="{04FE158C-16D7-CA79-837A-35D891903CB3}"/>
            </a:ext>
          </a:extLst>
        </xdr:cNvPr>
        <xdr:cNvSpPr/>
      </xdr:nvSpPr>
      <xdr:spPr>
        <a:xfrm>
          <a:off x="1534583" y="529167"/>
          <a:ext cx="20238219" cy="1311692"/>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5400" b="1"/>
            <a:t>SALES</a:t>
          </a:r>
          <a:r>
            <a:rPr lang="en-IN" sz="5400" b="1" baseline="0"/>
            <a:t> PERFORMANCE DASHBOARD</a:t>
          </a:r>
          <a:endParaRPr lang="en-IN" sz="5400" b="1"/>
        </a:p>
      </xdr:txBody>
    </xdr:sp>
    <xdr:clientData/>
  </xdr:twoCellAnchor>
  <xdr:twoCellAnchor>
    <xdr:from>
      <xdr:col>3</xdr:col>
      <xdr:colOff>55358</xdr:colOff>
      <xdr:row>13</xdr:row>
      <xdr:rowOff>141111</xdr:rowOff>
    </xdr:from>
    <xdr:to>
      <xdr:col>15</xdr:col>
      <xdr:colOff>564444</xdr:colOff>
      <xdr:row>31</xdr:row>
      <xdr:rowOff>105833</xdr:rowOff>
    </xdr:to>
    <xdr:graphicFrame macro="">
      <xdr:nvGraphicFramePr>
        <xdr:cNvPr id="19" name="Chart 18">
          <a:extLst>
            <a:ext uri="{FF2B5EF4-FFF2-40B4-BE49-F238E27FC236}">
              <a16:creationId xmlns:a16="http://schemas.microsoft.com/office/drawing/2014/main" id="{002E10B1-103E-D0A1-78F2-ED9699A17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24455</xdr:colOff>
      <xdr:row>40</xdr:row>
      <xdr:rowOff>170955</xdr:rowOff>
    </xdr:from>
    <xdr:to>
      <xdr:col>15</xdr:col>
      <xdr:colOff>425537</xdr:colOff>
      <xdr:row>63</xdr:row>
      <xdr:rowOff>4410</xdr:rowOff>
    </xdr:to>
    <xdr:graphicFrame macro="">
      <xdr:nvGraphicFramePr>
        <xdr:cNvPr id="20" name="Chart 19">
          <a:extLst>
            <a:ext uri="{FF2B5EF4-FFF2-40B4-BE49-F238E27FC236}">
              <a16:creationId xmlns:a16="http://schemas.microsoft.com/office/drawing/2014/main" id="{9D9206A8-98A7-9241-33F8-2DDC2C661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254001</xdr:colOff>
      <xdr:row>40</xdr:row>
      <xdr:rowOff>17637</xdr:rowOff>
    </xdr:from>
    <xdr:to>
      <xdr:col>29</xdr:col>
      <xdr:colOff>458611</xdr:colOff>
      <xdr:row>59</xdr:row>
      <xdr:rowOff>88194</xdr:rowOff>
    </xdr:to>
    <xdr:graphicFrame macro="">
      <xdr:nvGraphicFramePr>
        <xdr:cNvPr id="21" name="Chart 20">
          <a:extLst>
            <a:ext uri="{FF2B5EF4-FFF2-40B4-BE49-F238E27FC236}">
              <a16:creationId xmlns:a16="http://schemas.microsoft.com/office/drawing/2014/main" id="{01BB8283-4341-419D-D059-40B76664D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 Sri" refreshedDate="46165.728429166666" createdVersion="8" refreshedVersion="8" minRefreshableVersion="3" recordCount="10" xr:uid="{B96DFAB0-7528-4565-A2A3-90FF4FD9F214}">
  <cacheSource type="worksheet">
    <worksheetSource name="Table1"/>
  </cacheSource>
  <cacheFields count="7">
    <cacheField name="Date" numFmtId="14">
      <sharedItems containsSemiMixedTypes="0" containsNonDate="0" containsDate="1" containsString="0" minDate="2026-01-02T00:00:00" maxDate="2026-01-12T00:00:00"/>
    </cacheField>
    <cacheField name="Region" numFmtId="0">
      <sharedItems count="5">
        <s v="Mumbai"/>
        <s v="Hyderabad"/>
        <s v="Bangalore"/>
        <s v="Delhi"/>
        <s v="Chennai"/>
      </sharedItems>
    </cacheField>
    <cacheField name="Product" numFmtId="0">
      <sharedItems count="5">
        <s v="Laptop"/>
        <s v="Smartphone"/>
        <s v="Tablet"/>
        <s v="Smartwatch"/>
        <s v="Headphones"/>
      </sharedItems>
    </cacheField>
    <cacheField name="Units Sold" numFmtId="0">
      <sharedItems containsSemiMixedTypes="0" containsString="0" containsNumber="1" containsInteger="1" minValue="10" maxValue="40"/>
    </cacheField>
    <cacheField name="Unit Price" numFmtId="0">
      <sharedItems containsSemiMixedTypes="0" containsString="0" containsNumber="1" containsInteger="1" minValue="4500" maxValue="65000"/>
    </cacheField>
    <cacheField name="Revenue" numFmtId="0">
      <sharedItems containsSemiMixedTypes="0" containsString="0" containsNumber="1" containsInteger="1" minValue="157500" maxValue="660000" count="10">
        <n v="660000"/>
        <n v="550000"/>
        <n v="540000"/>
        <n v="360000"/>
        <n v="200000"/>
        <n v="375000"/>
        <n v="650000"/>
        <n v="616000"/>
        <n v="157500"/>
        <n v="300000"/>
      </sharedItems>
    </cacheField>
    <cacheField name="Salesperson" numFmtId="0">
      <sharedItems count="10">
        <s v="Arjun Mehta"/>
        <s v="Priya Sharma"/>
        <s v="Rahul Verma"/>
        <s v="Sneha Reddy"/>
        <s v="Karan Patel"/>
        <s v="Ananya Rao"/>
        <s v="Vikram Singh"/>
        <s v="Neha Kapoor"/>
        <s v="Rohit Kumar"/>
        <s v="Aisha Khan"/>
      </sharedItems>
    </cacheField>
  </cacheFields>
  <extLst>
    <ext xmlns:x14="http://schemas.microsoft.com/office/spreadsheetml/2009/9/main" uri="{725AE2AE-9491-48be-B2B4-4EB974FC3084}">
      <x14:pivotCacheDefinition pivotCacheId="2106180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01-02T00:00:00"/>
    <x v="0"/>
    <x v="0"/>
    <n v="12"/>
    <n v="55000"/>
    <x v="0"/>
    <x v="0"/>
  </r>
  <r>
    <d v="2026-01-03T00:00:00"/>
    <x v="1"/>
    <x v="1"/>
    <n v="25"/>
    <n v="22000"/>
    <x v="1"/>
    <x v="1"/>
  </r>
  <r>
    <d v="2026-01-04T00:00:00"/>
    <x v="2"/>
    <x v="2"/>
    <n v="18"/>
    <n v="30000"/>
    <x v="2"/>
    <x v="2"/>
  </r>
  <r>
    <d v="2026-01-05T00:00:00"/>
    <x v="3"/>
    <x v="3"/>
    <n v="30"/>
    <n v="12000"/>
    <x v="3"/>
    <x v="3"/>
  </r>
  <r>
    <d v="2026-01-06T00:00:00"/>
    <x v="4"/>
    <x v="4"/>
    <n v="40"/>
    <n v="5000"/>
    <x v="4"/>
    <x v="4"/>
  </r>
  <r>
    <d v="2026-01-07T00:00:00"/>
    <x v="0"/>
    <x v="1"/>
    <n v="15"/>
    <n v="25000"/>
    <x v="5"/>
    <x v="5"/>
  </r>
  <r>
    <d v="2026-01-08T00:00:00"/>
    <x v="1"/>
    <x v="0"/>
    <n v="10"/>
    <n v="65000"/>
    <x v="6"/>
    <x v="6"/>
  </r>
  <r>
    <d v="2026-01-09T00:00:00"/>
    <x v="2"/>
    <x v="2"/>
    <n v="22"/>
    <n v="28000"/>
    <x v="7"/>
    <x v="7"/>
  </r>
  <r>
    <d v="2026-01-10T00:00:00"/>
    <x v="3"/>
    <x v="4"/>
    <n v="35"/>
    <n v="4500"/>
    <x v="8"/>
    <x v="8"/>
  </r>
  <r>
    <d v="2026-01-11T00:00:00"/>
    <x v="4"/>
    <x v="3"/>
    <n v="20"/>
    <n v="15000"/>
    <x v="9"/>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532A9-D6E7-426A-B466-094B2CED8476}"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13:B15" firstHeaderRow="1" firstDataRow="1" firstDataCol="1"/>
  <pivotFields count="7">
    <pivotField numFmtId="14" showAll="0"/>
    <pivotField showAll="0">
      <items count="6">
        <item h="1" x="2"/>
        <item x="4"/>
        <item x="3"/>
        <item h="1" x="1"/>
        <item x="0"/>
        <item t="default"/>
      </items>
    </pivotField>
    <pivotField axis="axisRow" showAll="0">
      <items count="6">
        <item h="1" x="4"/>
        <item h="1" x="0"/>
        <item h="1" x="1"/>
        <item x="3"/>
        <item h="1" x="2"/>
        <item t="default"/>
      </items>
    </pivotField>
    <pivotField showAll="0"/>
    <pivotField showAll="0"/>
    <pivotField dataField="1" showAll="0">
      <items count="11">
        <item x="8"/>
        <item x="4"/>
        <item x="9"/>
        <item x="3"/>
        <item x="5"/>
        <item x="2"/>
        <item x="1"/>
        <item x="7"/>
        <item x="6"/>
        <item x="0"/>
        <item t="default"/>
      </items>
    </pivotField>
    <pivotField showAll="0">
      <items count="11">
        <item x="9"/>
        <item x="5"/>
        <item x="0"/>
        <item x="4"/>
        <item x="7"/>
        <item x="1"/>
        <item x="2"/>
        <item x="8"/>
        <item x="3"/>
        <item x="6"/>
        <item t="default"/>
      </items>
    </pivotField>
  </pivotFields>
  <rowFields count="1">
    <field x="2"/>
  </rowFields>
  <rowItems count="2">
    <i>
      <x v="3"/>
    </i>
    <i t="grand">
      <x/>
    </i>
  </rowItems>
  <colItems count="1">
    <i/>
  </colItems>
  <dataFields count="1">
    <dataField name="Sum of Revenue" fld="5" baseField="0" baseItem="0"/>
  </dataFields>
  <chartFormats count="5">
    <chartFormat chart="69" format="1" series="1">
      <pivotArea type="data" outline="0" fieldPosition="0">
        <references count="1">
          <reference field="4294967294" count="1" selected="0">
            <x v="0"/>
          </reference>
        </references>
      </pivotArea>
    </chartFormat>
    <chartFormat chart="63" format="1"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52385D-591D-48F8-95DD-E513C87431DE}"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5:B31" firstHeaderRow="1" firstDataRow="1" firstDataCol="1"/>
  <pivotFields count="7">
    <pivotField numFmtId="14" showAll="0"/>
    <pivotField axis="axisRow" showAll="0">
      <items count="6">
        <item x="2"/>
        <item x="4"/>
        <item x="3"/>
        <item x="1"/>
        <item x="0"/>
        <item t="default"/>
      </items>
    </pivotField>
    <pivotField showAll="0"/>
    <pivotField showAll="0"/>
    <pivotField showAll="0"/>
    <pivotField dataField="1" showAll="0"/>
    <pivotField showAll="0"/>
  </pivotFields>
  <rowFields count="1">
    <field x="1"/>
  </rowFields>
  <rowItems count="6">
    <i>
      <x/>
    </i>
    <i>
      <x v="1"/>
    </i>
    <i>
      <x v="2"/>
    </i>
    <i>
      <x v="3"/>
    </i>
    <i>
      <x v="4"/>
    </i>
    <i t="grand">
      <x/>
    </i>
  </rowItems>
  <colItems count="1">
    <i/>
  </colItems>
  <dataFields count="1">
    <dataField name="Sum of Revenue" fld="5"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728D4-AD1A-4D30-A783-180AC2E975C4}"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B54" firstHeaderRow="1" firstDataRow="1" firstDataCol="1"/>
  <pivotFields count="7">
    <pivotField numFmtId="14" showAll="0"/>
    <pivotField showAll="0"/>
    <pivotField showAll="0"/>
    <pivotField showAll="0"/>
    <pivotField showAll="0"/>
    <pivotField dataField="1" showAll="0"/>
    <pivotField axis="axisRow" showAll="0">
      <items count="11">
        <item x="9"/>
        <item x="5"/>
        <item x="0"/>
        <item x="4"/>
        <item x="7"/>
        <item x="1"/>
        <item x="2"/>
        <item x="8"/>
        <item x="3"/>
        <item x="6"/>
        <item t="default"/>
      </items>
    </pivotField>
  </pivotFields>
  <rowFields count="1">
    <field x="6"/>
  </rowFields>
  <rowItems count="11">
    <i>
      <x/>
    </i>
    <i>
      <x v="1"/>
    </i>
    <i>
      <x v="2"/>
    </i>
    <i>
      <x v="3"/>
    </i>
    <i>
      <x v="4"/>
    </i>
    <i>
      <x v="5"/>
    </i>
    <i>
      <x v="6"/>
    </i>
    <i>
      <x v="7"/>
    </i>
    <i>
      <x v="8"/>
    </i>
    <i>
      <x v="9"/>
    </i>
    <i t="grand">
      <x/>
    </i>
  </rowItems>
  <colItems count="1">
    <i/>
  </colItems>
  <dataFields count="1">
    <dataField name="Sum of Revenue" fld="5"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9B8094-D4B6-42D7-B5D0-61C1B2D7834F}"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7">
    <pivotField numFmtId="1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49416D-7528-48A2-990F-C9D39564200A}" sourceName="Region">
  <pivotTables>
    <pivotTable tabId="2" name="PivotTable10"/>
  </pivotTables>
  <data>
    <tabular pivotCacheId="2106180457">
      <items count="5">
        <i x="4" s="1"/>
        <i x="3" s="1"/>
        <i x="2" nd="1"/>
        <i x="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6602B07-0F14-4AD8-826A-3F6220A44003}" sourceName="Product">
  <pivotTables>
    <pivotTable tabId="2" name="PivotTable10"/>
  </pivotTables>
  <data>
    <tabular pivotCacheId="2106180457">
      <items count="5">
        <i x="4"/>
        <i x="0"/>
        <i x="1"/>
        <i x="3"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70160B8-45BB-489F-B5E0-EC4940C610A1}" sourceName="Salesperson">
  <pivotTables>
    <pivotTable tabId="2" name="PivotTable10"/>
  </pivotTables>
  <data>
    <tabular pivotCacheId="2106180457">
      <items count="10">
        <i x="9" s="1"/>
        <i x="3" s="1"/>
        <i x="5" s="1" nd="1"/>
        <i x="0" s="1" nd="1"/>
        <i x="4" s="1" nd="1"/>
        <i x="7" s="1" nd="1"/>
        <i x="1" s="1" nd="1"/>
        <i x="2" s="1" nd="1"/>
        <i x="8"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437836-8CD9-466F-B18D-ABD8C484FEC8}" cache="Slicer_Region" caption="Region" rowHeight="241300"/>
  <slicer name="Product" xr10:uid="{599BE22B-88C4-4F2C-9D13-DF529F3060DC}" cache="Slicer_Product" caption="Product" rowHeight="241300"/>
  <slicer name="Salesperson" xr10:uid="{97D1840F-0DE8-4DEB-9037-E839CFA5D46D}"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FE535F-C1E7-420C-B939-124BC133F3D4}" name="Table1" displayName="Table1" ref="A1:G11" totalsRowShown="0" headerRowDxfId="8" dataDxfId="7">
  <autoFilter ref="A1:G11" xr:uid="{DDFE535F-C1E7-420C-B939-124BC133F3D4}"/>
  <tableColumns count="7">
    <tableColumn id="1" xr3:uid="{E829EFF0-FC7A-4F21-A885-F0135CD3050A}" name="Date" dataDxfId="6"/>
    <tableColumn id="2" xr3:uid="{4D7F74AC-EE3F-4773-B9F4-9E3A268EC048}" name="Region" dataDxfId="5"/>
    <tableColumn id="3" xr3:uid="{49FF2688-4103-43AC-8F59-551747526EE9}" name="Product" dataDxfId="4"/>
    <tableColumn id="4" xr3:uid="{000B7D83-C701-4F0F-A8A2-47B918E91AB0}" name="Units Sold" dataDxfId="3"/>
    <tableColumn id="5" xr3:uid="{9174DC12-5DF1-444F-81F1-771B1087111E}" name="Unit Price" dataDxfId="2"/>
    <tableColumn id="6" xr3:uid="{E4B0D718-40AD-48C6-8F5D-88899C995645}" name="Revenue" dataDxfId="1"/>
    <tableColumn id="7" xr3:uid="{DED9AC41-E364-4AFF-A82C-11BD705A8EF0}" name="Salesperson"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6201D-0C3E-44E6-B65F-42DAA1449382}">
  <dimension ref="A13:AB66"/>
  <sheetViews>
    <sheetView showGridLines="0" tabSelected="1" topLeftCell="A6" zoomScale="43" zoomScaleNormal="36" workbookViewId="0">
      <selection activeCell="AF40" sqref="AF40"/>
    </sheetView>
  </sheetViews>
  <sheetFormatPr defaultRowHeight="14.5" x14ac:dyDescent="0.35"/>
  <cols>
    <col min="1" max="1" width="20.36328125" bestFit="1" customWidth="1"/>
    <col min="2" max="2" width="21" bestFit="1" customWidth="1"/>
    <col min="3" max="3" width="15.6328125" bestFit="1" customWidth="1"/>
    <col min="28" max="28" width="10.54296875" customWidth="1"/>
  </cols>
  <sheetData>
    <row r="13" spans="1:2" x14ac:dyDescent="0.35">
      <c r="A13" s="13" t="s">
        <v>27</v>
      </c>
      <c r="B13" t="s">
        <v>29</v>
      </c>
    </row>
    <row r="14" spans="1:2" x14ac:dyDescent="0.35">
      <c r="A14" s="14" t="s">
        <v>17</v>
      </c>
      <c r="B14" s="15">
        <v>660000</v>
      </c>
    </row>
    <row r="15" spans="1:2" x14ac:dyDescent="0.35">
      <c r="A15" s="14" t="s">
        <v>28</v>
      </c>
      <c r="B15" s="15">
        <v>660000</v>
      </c>
    </row>
    <row r="25" spans="1:2" x14ac:dyDescent="0.35">
      <c r="A25" s="13" t="s">
        <v>27</v>
      </c>
      <c r="B25" t="s">
        <v>29</v>
      </c>
    </row>
    <row r="26" spans="1:2" x14ac:dyDescent="0.35">
      <c r="A26" s="14" t="s">
        <v>13</v>
      </c>
      <c r="B26" s="15">
        <v>1156000</v>
      </c>
    </row>
    <row r="27" spans="1:2" x14ac:dyDescent="0.35">
      <c r="A27" s="14" t="s">
        <v>19</v>
      </c>
      <c r="B27" s="15">
        <v>500000</v>
      </c>
    </row>
    <row r="28" spans="1:2" x14ac:dyDescent="0.35">
      <c r="A28" s="14" t="s">
        <v>16</v>
      </c>
      <c r="B28" s="15">
        <v>517500</v>
      </c>
    </row>
    <row r="29" spans="1:2" x14ac:dyDescent="0.35">
      <c r="A29" s="14" t="s">
        <v>10</v>
      </c>
      <c r="B29" s="15">
        <v>1200000</v>
      </c>
    </row>
    <row r="30" spans="1:2" x14ac:dyDescent="0.35">
      <c r="A30" s="14" t="s">
        <v>7</v>
      </c>
      <c r="B30" s="15">
        <v>1035000</v>
      </c>
    </row>
    <row r="31" spans="1:2" x14ac:dyDescent="0.35">
      <c r="A31" s="14" t="s">
        <v>28</v>
      </c>
      <c r="B31" s="15">
        <v>4408500</v>
      </c>
    </row>
    <row r="34" spans="1:14" ht="26" x14ac:dyDescent="0.35">
      <c r="G34" s="17" t="s">
        <v>30</v>
      </c>
      <c r="H34" s="16"/>
      <c r="I34" s="16"/>
      <c r="J34" s="16"/>
      <c r="K34" s="16"/>
      <c r="L34" s="16"/>
      <c r="M34" s="16"/>
      <c r="N34" s="16"/>
    </row>
    <row r="43" spans="1:14" x14ac:dyDescent="0.35">
      <c r="A43" s="13" t="s">
        <v>27</v>
      </c>
      <c r="B43" t="s">
        <v>29</v>
      </c>
    </row>
    <row r="44" spans="1:14" x14ac:dyDescent="0.35">
      <c r="A44" s="14" t="s">
        <v>26</v>
      </c>
      <c r="B44" s="15">
        <v>300000</v>
      </c>
    </row>
    <row r="45" spans="1:14" x14ac:dyDescent="0.35">
      <c r="A45" s="14" t="s">
        <v>22</v>
      </c>
      <c r="B45" s="15">
        <v>375000</v>
      </c>
    </row>
    <row r="46" spans="1:14" x14ac:dyDescent="0.35">
      <c r="A46" s="14" t="s">
        <v>9</v>
      </c>
      <c r="B46" s="15">
        <v>660000</v>
      </c>
    </row>
    <row r="47" spans="1:14" x14ac:dyDescent="0.35">
      <c r="A47" s="14" t="s">
        <v>21</v>
      </c>
      <c r="B47" s="15">
        <v>200000</v>
      </c>
    </row>
    <row r="48" spans="1:14" x14ac:dyDescent="0.35">
      <c r="A48" s="14" t="s">
        <v>24</v>
      </c>
      <c r="B48" s="15">
        <v>616000</v>
      </c>
    </row>
    <row r="49" spans="1:28" x14ac:dyDescent="0.35">
      <c r="A49" s="14" t="s">
        <v>12</v>
      </c>
      <c r="B49" s="15">
        <v>550000</v>
      </c>
    </row>
    <row r="50" spans="1:28" x14ac:dyDescent="0.35">
      <c r="A50" s="14" t="s">
        <v>15</v>
      </c>
      <c r="B50" s="15">
        <v>540000</v>
      </c>
    </row>
    <row r="51" spans="1:28" x14ac:dyDescent="0.35">
      <c r="A51" s="14" t="s">
        <v>25</v>
      </c>
      <c r="B51" s="15">
        <v>157500</v>
      </c>
    </row>
    <row r="52" spans="1:28" x14ac:dyDescent="0.35">
      <c r="A52" s="14" t="s">
        <v>18</v>
      </c>
      <c r="B52" s="15">
        <v>360000</v>
      </c>
    </row>
    <row r="53" spans="1:28" x14ac:dyDescent="0.35">
      <c r="A53" s="14" t="s">
        <v>23</v>
      </c>
      <c r="B53" s="15">
        <v>650000</v>
      </c>
    </row>
    <row r="54" spans="1:28" x14ac:dyDescent="0.35">
      <c r="A54" s="14" t="s">
        <v>28</v>
      </c>
      <c r="B54" s="15">
        <v>4408500</v>
      </c>
    </row>
    <row r="64" spans="1:28" ht="26" x14ac:dyDescent="0.6">
      <c r="V64" s="19" t="s">
        <v>32</v>
      </c>
      <c r="W64" s="19"/>
      <c r="X64" s="19"/>
      <c r="Y64" s="19"/>
      <c r="Z64" s="19"/>
      <c r="AA64" s="19"/>
      <c r="AB64" s="19"/>
    </row>
    <row r="66" spans="8:13" ht="26" x14ac:dyDescent="0.6">
      <c r="H66" s="19" t="s">
        <v>31</v>
      </c>
      <c r="I66" s="18"/>
      <c r="J66" s="18"/>
      <c r="K66" s="18"/>
      <c r="L66" s="18"/>
      <c r="M66" s="18"/>
    </row>
  </sheetData>
  <mergeCells count="3">
    <mergeCell ref="G34:N34"/>
    <mergeCell ref="H66:M66"/>
    <mergeCell ref="V64:AB64"/>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E012D-E61F-48D6-8DAC-8B4FE7ACF4E8}">
  <dimension ref="A1"/>
  <sheetViews>
    <sheetView workbookViewId="0">
      <selection activeCell="A5" sqref="A3:B9"/>
    </sheetView>
  </sheetViews>
  <sheetFormatPr defaultRowHeight="14.5" x14ac:dyDescent="0.35"/>
  <cols>
    <col min="1" max="1" width="12.36328125" bestFit="1" customWidth="1"/>
    <col min="2" max="2" width="14.3632812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B06B-31CA-4BF0-A90C-A41D65F3B9C2}">
  <dimension ref="A3:C20"/>
  <sheetViews>
    <sheetView workbookViewId="0">
      <selection activeCell="B3" sqref="B3"/>
    </sheetView>
  </sheetViews>
  <sheetFormatPr defaultRowHeight="14.5" x14ac:dyDescent="0.35"/>
  <sheetData>
    <row r="3" spans="1:3" x14ac:dyDescent="0.35">
      <c r="A3" s="4"/>
      <c r="B3" s="5"/>
      <c r="C3" s="6"/>
    </row>
    <row r="4" spans="1:3" x14ac:dyDescent="0.35">
      <c r="A4" s="7"/>
      <c r="B4" s="8"/>
      <c r="C4" s="9"/>
    </row>
    <row r="5" spans="1:3" x14ac:dyDescent="0.35">
      <c r="A5" s="7"/>
      <c r="B5" s="8"/>
      <c r="C5" s="9"/>
    </row>
    <row r="6" spans="1:3" x14ac:dyDescent="0.35">
      <c r="A6" s="7"/>
      <c r="B6" s="8"/>
      <c r="C6" s="9"/>
    </row>
    <row r="7" spans="1:3" x14ac:dyDescent="0.35">
      <c r="A7" s="7"/>
      <c r="B7" s="8"/>
      <c r="C7" s="9"/>
    </row>
    <row r="8" spans="1:3" x14ac:dyDescent="0.35">
      <c r="A8" s="7"/>
      <c r="B8" s="8"/>
      <c r="C8" s="9"/>
    </row>
    <row r="9" spans="1:3" x14ac:dyDescent="0.35">
      <c r="A9" s="7"/>
      <c r="B9" s="8"/>
      <c r="C9" s="9"/>
    </row>
    <row r="10" spans="1:3" x14ac:dyDescent="0.35">
      <c r="A10" s="7"/>
      <c r="B10" s="8"/>
      <c r="C10" s="9"/>
    </row>
    <row r="11" spans="1:3" x14ac:dyDescent="0.35">
      <c r="A11" s="7"/>
      <c r="B11" s="8"/>
      <c r="C11" s="9"/>
    </row>
    <row r="12" spans="1:3" x14ac:dyDescent="0.35">
      <c r="A12" s="7"/>
      <c r="B12" s="8"/>
      <c r="C12" s="9"/>
    </row>
    <row r="13" spans="1:3" x14ac:dyDescent="0.35">
      <c r="A13" s="7"/>
      <c r="B13" s="8"/>
      <c r="C13" s="9"/>
    </row>
    <row r="14" spans="1:3" x14ac:dyDescent="0.35">
      <c r="A14" s="7"/>
      <c r="B14" s="8"/>
      <c r="C14" s="9"/>
    </row>
    <row r="15" spans="1:3" x14ac:dyDescent="0.35">
      <c r="A15" s="7"/>
      <c r="B15" s="8"/>
      <c r="C15" s="9"/>
    </row>
    <row r="16" spans="1:3" x14ac:dyDescent="0.35">
      <c r="A16" s="7"/>
      <c r="B16" s="8"/>
      <c r="C16" s="9"/>
    </row>
    <row r="17" spans="1:3" x14ac:dyDescent="0.35">
      <c r="A17" s="7"/>
      <c r="B17" s="8"/>
      <c r="C17" s="9"/>
    </row>
    <row r="18" spans="1:3" x14ac:dyDescent="0.35">
      <c r="A18" s="7"/>
      <c r="B18" s="8"/>
      <c r="C18" s="9"/>
    </row>
    <row r="19" spans="1:3" x14ac:dyDescent="0.35">
      <c r="A19" s="7"/>
      <c r="B19" s="8"/>
      <c r="C19" s="9"/>
    </row>
    <row r="20" spans="1:3" x14ac:dyDescent="0.35">
      <c r="A20" s="10"/>
      <c r="B20" s="11"/>
      <c r="C2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CA753-CB58-4170-B5B5-2608E052F936}">
  <dimension ref="A1"/>
  <sheetViews>
    <sheetView workbookViewId="0">
      <selection activeCell="A10" sqref="A10"/>
    </sheetView>
  </sheetViews>
  <sheetFormatPr defaultRowHeight="14.5" x14ac:dyDescent="0.35"/>
  <cols>
    <col min="1" max="1" width="12.36328125" bestFit="1" customWidth="1"/>
    <col min="2" max="3" width="14.363281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50C6-5648-4ACC-8309-83BFFAC45B13}">
  <dimension ref="A1:G12"/>
  <sheetViews>
    <sheetView workbookViewId="0">
      <selection activeCell="C4" sqref="A2:G11"/>
    </sheetView>
  </sheetViews>
  <sheetFormatPr defaultRowHeight="14.5" x14ac:dyDescent="0.35"/>
  <cols>
    <col min="1" max="1" width="10.08984375" bestFit="1" customWidth="1"/>
    <col min="3" max="3" width="13.453125" customWidth="1"/>
    <col min="4" max="4" width="13.08984375" customWidth="1"/>
    <col min="5" max="5" width="13.81640625" customWidth="1"/>
    <col min="6" max="6" width="12.6328125" customWidth="1"/>
    <col min="7" max="7" width="12.81640625" customWidth="1"/>
  </cols>
  <sheetData>
    <row r="1" spans="1:7" x14ac:dyDescent="0.35">
      <c r="A1" s="1" t="s">
        <v>0</v>
      </c>
      <c r="B1" s="1" t="s">
        <v>1</v>
      </c>
      <c r="C1" s="1" t="s">
        <v>2</v>
      </c>
      <c r="D1" s="1" t="s">
        <v>3</v>
      </c>
      <c r="E1" s="1" t="s">
        <v>4</v>
      </c>
      <c r="F1" s="1" t="s">
        <v>5</v>
      </c>
      <c r="G1" s="1" t="s">
        <v>6</v>
      </c>
    </row>
    <row r="2" spans="1:7" x14ac:dyDescent="0.35">
      <c r="A2" s="2">
        <v>46024</v>
      </c>
      <c r="B2" s="3" t="s">
        <v>7</v>
      </c>
      <c r="C2" s="3" t="s">
        <v>8</v>
      </c>
      <c r="D2" s="3">
        <v>12</v>
      </c>
      <c r="E2" s="3">
        <v>55000</v>
      </c>
      <c r="F2" s="3">
        <v>660000</v>
      </c>
      <c r="G2" s="3" t="s">
        <v>9</v>
      </c>
    </row>
    <row r="3" spans="1:7" ht="29" x14ac:dyDescent="0.35">
      <c r="A3" s="2">
        <v>46025</v>
      </c>
      <c r="B3" s="3" t="s">
        <v>10</v>
      </c>
      <c r="C3" s="3" t="s">
        <v>11</v>
      </c>
      <c r="D3" s="3">
        <v>25</v>
      </c>
      <c r="E3" s="3">
        <v>22000</v>
      </c>
      <c r="F3" s="3">
        <v>550000</v>
      </c>
      <c r="G3" s="3" t="s">
        <v>12</v>
      </c>
    </row>
    <row r="4" spans="1:7" ht="29" x14ac:dyDescent="0.35">
      <c r="A4" s="2">
        <v>46026</v>
      </c>
      <c r="B4" s="3" t="s">
        <v>13</v>
      </c>
      <c r="C4" s="3" t="s">
        <v>14</v>
      </c>
      <c r="D4" s="3">
        <v>18</v>
      </c>
      <c r="E4" s="3">
        <v>30000</v>
      </c>
      <c r="F4" s="3">
        <v>540000</v>
      </c>
      <c r="G4" s="3" t="s">
        <v>15</v>
      </c>
    </row>
    <row r="5" spans="1:7" x14ac:dyDescent="0.35">
      <c r="A5" s="2">
        <v>46027</v>
      </c>
      <c r="B5" s="3" t="s">
        <v>16</v>
      </c>
      <c r="C5" s="3" t="s">
        <v>17</v>
      </c>
      <c r="D5" s="3">
        <v>30</v>
      </c>
      <c r="E5" s="3">
        <v>12000</v>
      </c>
      <c r="F5" s="3">
        <v>360000</v>
      </c>
      <c r="G5" s="3" t="s">
        <v>18</v>
      </c>
    </row>
    <row r="6" spans="1:7" x14ac:dyDescent="0.35">
      <c r="A6" s="2">
        <v>46028</v>
      </c>
      <c r="B6" s="3" t="s">
        <v>19</v>
      </c>
      <c r="C6" s="3" t="s">
        <v>20</v>
      </c>
      <c r="D6" s="3">
        <v>40</v>
      </c>
      <c r="E6" s="3">
        <v>5000</v>
      </c>
      <c r="F6" s="3">
        <v>200000</v>
      </c>
      <c r="G6" s="3" t="s">
        <v>21</v>
      </c>
    </row>
    <row r="7" spans="1:7" x14ac:dyDescent="0.35">
      <c r="A7" s="2">
        <v>46029</v>
      </c>
      <c r="B7" s="3" t="s">
        <v>7</v>
      </c>
      <c r="C7" s="3" t="s">
        <v>11</v>
      </c>
      <c r="D7" s="3">
        <v>15</v>
      </c>
      <c r="E7" s="3">
        <v>25000</v>
      </c>
      <c r="F7" s="3">
        <v>375000</v>
      </c>
      <c r="G7" s="3" t="s">
        <v>22</v>
      </c>
    </row>
    <row r="8" spans="1:7" ht="29" x14ac:dyDescent="0.35">
      <c r="A8" s="2">
        <v>46030</v>
      </c>
      <c r="B8" s="3" t="s">
        <v>10</v>
      </c>
      <c r="C8" s="3" t="s">
        <v>8</v>
      </c>
      <c r="D8" s="3">
        <v>10</v>
      </c>
      <c r="E8" s="3">
        <v>65000</v>
      </c>
      <c r="F8" s="3">
        <v>650000</v>
      </c>
      <c r="G8" s="3" t="s">
        <v>23</v>
      </c>
    </row>
    <row r="9" spans="1:7" ht="29" x14ac:dyDescent="0.35">
      <c r="A9" s="2">
        <v>46031</v>
      </c>
      <c r="B9" s="3" t="s">
        <v>13</v>
      </c>
      <c r="C9" s="3" t="s">
        <v>14</v>
      </c>
      <c r="D9" s="3">
        <v>22</v>
      </c>
      <c r="E9" s="3">
        <v>28000</v>
      </c>
      <c r="F9" s="3">
        <v>616000</v>
      </c>
      <c r="G9" s="3" t="s">
        <v>24</v>
      </c>
    </row>
    <row r="10" spans="1:7" x14ac:dyDescent="0.35">
      <c r="A10" s="2">
        <v>46032</v>
      </c>
      <c r="B10" s="3" t="s">
        <v>16</v>
      </c>
      <c r="C10" s="3" t="s">
        <v>20</v>
      </c>
      <c r="D10" s="3">
        <v>35</v>
      </c>
      <c r="E10" s="3">
        <v>4500</v>
      </c>
      <c r="F10" s="3">
        <v>157500</v>
      </c>
      <c r="G10" s="3" t="s">
        <v>25</v>
      </c>
    </row>
    <row r="11" spans="1:7" x14ac:dyDescent="0.35">
      <c r="A11" s="2">
        <v>46033</v>
      </c>
      <c r="B11" s="3" t="s">
        <v>19</v>
      </c>
      <c r="C11" s="3" t="s">
        <v>17</v>
      </c>
      <c r="D11" s="3">
        <v>20</v>
      </c>
      <c r="E11" s="3">
        <v>15000</v>
      </c>
      <c r="F11" s="3">
        <v>300000</v>
      </c>
      <c r="G11" s="3" t="s">
        <v>26</v>
      </c>
    </row>
    <row r="12" spans="1:7" x14ac:dyDescent="0.35">
      <c r="D12">
        <f>SUM(Table1[Units Sold])</f>
        <v>227</v>
      </c>
      <c r="E12">
        <f>SUM(E2:E11)</f>
        <v>261500</v>
      </c>
      <c r="F12">
        <f>SUM(Table1[Revenue])</f>
        <v>4408500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 Sri Akula</dc:creator>
  <cp:lastModifiedBy>Navya Sri Akula</cp:lastModifiedBy>
  <dcterms:created xsi:type="dcterms:W3CDTF">2026-05-23T10:28:55Z</dcterms:created>
  <dcterms:modified xsi:type="dcterms:W3CDTF">2026-05-23T14:44:48Z</dcterms:modified>
</cp:coreProperties>
</file>